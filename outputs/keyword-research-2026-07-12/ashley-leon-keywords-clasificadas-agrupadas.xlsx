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60" activeTab="1"/>
  </bookViews>
  <sheets>
    <sheet name="Resumen" sheetId="1" r:id="rId1"/>
    <sheet name="Da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<sst xmlns="http://schemas.openxmlformats.org/spreadsheetml/2006/main" count="477" uniqueCount="118">
  <si>
    <t>Ashley Leon — Investigación de keywords</t>
  </si>
  <si>
    <t>Google Ads Keyword Planner + laboratorios SERP · Datos al 12 de julio de 2026</t>
  </si>
  <si>
    <t>Keywords analizadas</t>
  </si>
  <si>
    <t>Resumen de agrupación conservadora</t>
  </si>
  <si>
    <t>Clústeres conservadores</t>
  </si>
  <si>
    <t>ID</t>
  </si>
  <si>
    <t>Clúster</t>
  </si>
  <si>
    <t>Keywords</t>
  </si>
  <si>
    <t>Volumen técnico</t>
  </si>
  <si>
    <t>Estado</t>
  </si>
  <si>
    <t>Intención informativa</t>
  </si>
  <si>
    <t>C1</t>
  </si>
  <si>
    <t>Deconstrucción de fe/religión/cristianismo</t>
  </si>
  <si>
    <t>Principal</t>
  </si>
  <si>
    <t>Intención mixta</t>
  </si>
  <si>
    <t>C1-B</t>
  </si>
  <si>
    <t>Deconstrucción del cristianismo</t>
  </si>
  <si>
    <t>Frontera</t>
  </si>
  <si>
    <t>Comercial/transaccional</t>
  </si>
  <si>
    <t>C2</t>
  </si>
  <si>
    <t>Religious trauma workbook</t>
  </si>
  <si>
    <t>Independiente</t>
  </si>
  <si>
    <t>Suma técnica búsquedas/mes*</t>
  </si>
  <si>
    <t>Metodología y lectura</t>
  </si>
  <si>
    <t>• Métricas: Google Ads Keyword Planner, Estados Unidos, todos los idiomas, 2025-07-01 a 2026-06-30.</t>
  </si>
  <si>
    <t>• SERP: Google Estados Unidos en inglés, personalización desactivada y una página nueva por búsqueda.</t>
  </si>
  <si>
    <t>• Agrupación: 3 o más URLs orgánicas exactas compartidas; URLs normalizadas sin fragmentos ni parámetros de seguimiento.</t>
  </si>
  <si>
    <t>• Presentación conservadora: C1-B queda separado porque solo comparte 2 URLs con la referencia central.</t>
  </si>
  <si>
    <t>* La suma de búsquedas no representa audiencia única: Google puede agrupar variantes y duplicar volumen entre frases cercanas.</t>
  </si>
  <si>
    <t>Fuentes principales</t>
  </si>
  <si>
    <t>CSV original: /Users/didierc./Downloads/Keyword Stats 2026-07-12 at 21_31_29.csv</t>
  </si>
  <si>
    <t>SERP recurrentes: careynieuwhof.com, harperchristianresources.com, jenhatmaker.com, desiringgod.org y reddit.com.</t>
  </si>
  <si>
    <t>Archivo preparado para Ashley Leon · 2026-07-12</t>
  </si>
  <si>
    <t>Orden</t>
  </si>
  <si>
    <t>ID clúster</t>
  </si>
  <si>
    <t>Estado de agrupación</t>
  </si>
  <si>
    <t>Rol en clúster</t>
  </si>
  <si>
    <t>Keyword</t>
  </si>
  <si>
    <t>Keyword de referencia SERP</t>
  </si>
  <si>
    <t>Intención dominante</t>
  </si>
  <si>
    <t>Intención secundaria</t>
  </si>
  <si>
    <t>Búsquedas mensuales promedio</t>
  </si>
  <si>
    <t>Cambio 3 meses (%)</t>
  </si>
  <si>
    <t>Cambio interanual (%)</t>
  </si>
  <si>
    <t>Competencia Google Ads</t>
  </si>
  <si>
    <t>Índice competencia Ads</t>
  </si>
  <si>
    <t>Puja parte superior baja (USD)</t>
  </si>
  <si>
    <t>Puja parte superior alta (USD)</t>
  </si>
  <si>
    <t>URLs compartidas con referencia</t>
  </si>
  <si>
    <t>Confianza de agrupación</t>
  </si>
  <si>
    <t>Periodo de datos</t>
  </si>
  <si>
    <t>Mercado Keyword Planner</t>
  </si>
  <si>
    <t>Idioma Keyword Planner</t>
  </si>
  <si>
    <t>Configuración SERP</t>
  </si>
  <si>
    <t>Notas metodológicas</t>
  </si>
  <si>
    <t>Deconstrucción de fe, religión y cristianismo</t>
  </si>
  <si>
    <t>Clúster principal</t>
  </si>
  <si>
    <t>Líder por volumen</t>
  </si>
  <si>
    <t>deconstruction christianity</t>
  </si>
  <si>
    <t>what is faith deconstruction</t>
  </si>
  <si>
    <t>Informativa</t>
  </si>
  <si>
    <t/>
  </si>
  <si>
    <t>Baja</t>
  </si>
  <si>
    <t>Media</t>
  </si>
  <si>
    <t>2025-07-01 a 2026-06-30</t>
  </si>
  <si>
    <t>Estados Unidos</t>
  </si>
  <si>
    <t>Todos los idiomas</t>
  </si>
  <si>
    <t>Estados Unidos / inglés / personalización desactivada</t>
  </si>
  <si>
    <t>4 URLs exactas compartidas con la referencia SERP.</t>
  </si>
  <si>
    <t>Referencia SERP</t>
  </si>
  <si>
    <t>Servicios de acompañamiento (presencia minoritaria)</t>
  </si>
  <si>
    <t>Alta</t>
  </si>
  <si>
    <t>9 URLs exactas compartidas con la referencia SERP.</t>
  </si>
  <si>
    <t>Variante semántica</t>
  </si>
  <si>
    <t>deconstruction of faith</t>
  </si>
  <si>
    <t>5 URLs exactas compartidas con la referencia SERP.</t>
  </si>
  <si>
    <t>deconstruction religion</t>
  </si>
  <si>
    <t>faith deconstruction</t>
  </si>
  <si>
    <t>7 URLs exactas compartidas con la referencia SERP.</t>
  </si>
  <si>
    <t>religious deconstruction</t>
  </si>
  <si>
    <t>what does deconstructing faith mean</t>
  </si>
  <si>
    <t>what does it mean to deconstruct your faith</t>
  </si>
  <si>
    <t>6 URLs exactas compartidas con la referencia SERP.</t>
  </si>
  <si>
    <t>what is a deconstructed christian</t>
  </si>
  <si>
    <t>what is christian deconstruction</t>
  </si>
  <si>
    <t>what is deconstruction christianity</t>
  </si>
  <si>
    <t>what is deconstruction in christianity</t>
  </si>
  <si>
    <t>what is religious deconstruction</t>
  </si>
  <si>
    <t>deconstruction church</t>
  </si>
  <si>
    <t>3 URLs exactas compartidas con la referencia SERP.</t>
  </si>
  <si>
    <t>deconstruction in christianity</t>
  </si>
  <si>
    <t>faith deconstruction meaning</t>
  </si>
  <si>
    <t>∞</t>
  </si>
  <si>
    <t>what does deconstructing christianity mean</t>
  </si>
  <si>
    <t>what does deconstructing your faith mean</t>
  </si>
  <si>
    <t>what does deconstruction mean in christianity</t>
  </si>
  <si>
    <t>what does deconstruction of faith mean</t>
  </si>
  <si>
    <t>what is deconstructing faith</t>
  </si>
  <si>
    <t>what is deconstructing religion</t>
  </si>
  <si>
    <t>what is deconstructing your faith</t>
  </si>
  <si>
    <t>what is deconstruction in religion</t>
  </si>
  <si>
    <t>8 URLs exactas compartidas con la referencia SERP.</t>
  </si>
  <si>
    <t>what is deconstruction of faith</t>
  </si>
  <si>
    <t>what is the deconstruction movement in christianity</t>
  </si>
  <si>
    <t>Deconstrucción del cristianismo — caso fronterizo</t>
  </si>
  <si>
    <t>Frontera SERP</t>
  </si>
  <si>
    <t>Keyword fronteriza</t>
  </si>
  <si>
    <t>deconstruction of christianity</t>
  </si>
  <si>
    <t>Mixta: informativa + comercial</t>
  </si>
  <si>
    <t>Investigación de libro/recurso</t>
  </si>
  <si>
    <t>Media (fronteriza)</t>
  </si>
  <si>
    <t>2 URLs con la referencia; 3 URLs compartidas con tres keywords laterales del clúster C1.</t>
  </si>
  <si>
    <t>Clúster independiente</t>
  </si>
  <si>
    <t>Keyword independiente</t>
  </si>
  <si>
    <t>religious trauma workbook</t>
  </si>
  <si>
    <t>Descarga o compra de recurso</t>
  </si>
  <si>
    <t>Alta (separación clara)</t>
  </si>
  <si>
    <t>0 URLs compartidas con la referencia; SERP independiente.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</si>
</sst>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0&quot;%&quot;"/>
    <numFmt numFmtId="179" formatCode="\$0.00"/>
  </numFmts>
  <fonts count="30">
    <font>
      <sz val="11"/>
      <name val="Carlito"/>
      <charset val="134"/>
    </font>
    <font>
      <b/>
      <sz val="10"/>
      <color rgb="FFFFFFFF"/>
      <name val="Carlito"/>
      <charset val="134"/>
    </font>
    <font>
      <sz val="9"/>
      <color rgb="FF1F2937"/>
      <name val="Carlito"/>
      <charset val="134"/>
    </font>
    <font>
      <b/>
      <sz val="18"/>
      <color rgb="FFFFFFFF"/>
      <name val="Carlito"/>
      <charset val="134"/>
    </font>
    <font>
      <i/>
      <sz val="10"/>
      <color rgb="FF334155"/>
      <name val="Carlito"/>
      <charset val="134"/>
    </font>
    <font>
      <b/>
      <sz val="11"/>
      <color rgb="FF334155"/>
      <name val="Carlito"/>
      <charset val="134"/>
    </font>
    <font>
      <b/>
      <sz val="14"/>
      <color rgb="FF0F766E"/>
      <name val="Carlito"/>
      <charset val="134"/>
    </font>
    <font>
      <b/>
      <sz val="11"/>
      <color rgb="FFFFFFFF"/>
      <name val="Carlito"/>
      <charset val="134"/>
    </font>
    <font>
      <sz val="10"/>
      <color rgb="FF334155"/>
      <name val="Carlito"/>
      <charset val="134"/>
    </font>
    <font>
      <sz val="9"/>
      <color rgb="FF475569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1354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213547"/>
      </left>
      <right/>
      <top style="thin">
        <color rgb="FF213547"/>
      </top>
      <bottom style="thin">
        <color rgb="FF213547"/>
      </bottom>
      <diagonal/>
    </border>
    <border>
      <left/>
      <right/>
      <top style="thin">
        <color rgb="FF213547"/>
      </top>
      <bottom style="thin">
        <color rgb="FF213547"/>
      </bottom>
      <diagonal/>
    </border>
    <border>
      <left/>
      <right style="thin">
        <color rgb="FF213547"/>
      </right>
      <top style="thin">
        <color rgb="FF213547"/>
      </top>
      <bottom style="thin">
        <color rgb="FF213547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5" applyNumberFormat="0" applyAlignment="0" applyProtection="0">
      <alignment vertical="center"/>
    </xf>
    <xf numFmtId="0" fontId="20" fillId="11" borderId="16" applyNumberFormat="0" applyAlignment="0" applyProtection="0">
      <alignment vertical="center"/>
    </xf>
    <xf numFmtId="0" fontId="21" fillId="11" borderId="15" applyNumberFormat="0" applyAlignment="0" applyProtection="0">
      <alignment vertical="center"/>
    </xf>
    <xf numFmtId="0" fontId="22" fillId="12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1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vertical="top"/>
    </xf>
    <xf numFmtId="0" fontId="2" fillId="3" borderId="0" xfId="0" applyNumberFormat="1" applyFont="1" applyFill="1" applyBorder="1" applyAlignment="1">
      <alignment vertical="top" wrapText="1"/>
    </xf>
    <xf numFmtId="3" fontId="2" fillId="3" borderId="0" xfId="0" applyNumberFormat="1" applyFont="1" applyFill="1" applyBorder="1" applyAlignment="1">
      <alignment vertical="top"/>
    </xf>
    <xf numFmtId="178" fontId="2" fillId="3" borderId="0" xfId="0" applyNumberFormat="1" applyFont="1" applyFill="1" applyBorder="1" applyAlignment="1">
      <alignment vertical="top"/>
    </xf>
    <xf numFmtId="1" fontId="2" fillId="3" borderId="0" xfId="0" applyNumberFormat="1" applyFont="1" applyFill="1" applyBorder="1" applyAlignment="1">
      <alignment vertical="top"/>
    </xf>
    <xf numFmtId="179" fontId="2" fillId="3" borderId="0" xfId="0" applyNumberFormat="1" applyFont="1" applyFill="1" applyBorder="1" applyAlignment="1">
      <alignment vertical="top"/>
    </xf>
    <xf numFmtId="0" fontId="2" fillId="4" borderId="0" xfId="0" applyNumberFormat="1" applyFont="1" applyFill="1" applyBorder="1" applyAlignment="1">
      <alignment vertical="top"/>
    </xf>
    <xf numFmtId="0" fontId="2" fillId="4" borderId="0" xfId="0" applyNumberFormat="1" applyFont="1" applyFill="1" applyBorder="1" applyAlignment="1">
      <alignment vertical="top" wrapText="1"/>
    </xf>
    <xf numFmtId="3" fontId="2" fillId="4" borderId="0" xfId="0" applyNumberFormat="1" applyFont="1" applyFill="1" applyBorder="1" applyAlignment="1">
      <alignment vertical="top"/>
    </xf>
    <xf numFmtId="178" fontId="2" fillId="4" borderId="0" xfId="0" applyNumberFormat="1" applyFont="1" applyFill="1" applyBorder="1" applyAlignment="1">
      <alignment vertical="top"/>
    </xf>
    <xf numFmtId="1" fontId="2" fillId="4" borderId="0" xfId="0" applyNumberFormat="1" applyFont="1" applyFill="1" applyBorder="1" applyAlignment="1">
      <alignment vertical="top"/>
    </xf>
    <xf numFmtId="179" fontId="2" fillId="4" borderId="0" xfId="0" applyNumberFormat="1" applyFont="1" applyFill="1" applyBorder="1" applyAlignment="1">
      <alignment vertical="top"/>
    </xf>
    <xf numFmtId="0" fontId="2" fillId="5" borderId="0" xfId="0" applyNumberFormat="1" applyFont="1" applyFill="1" applyBorder="1" applyAlignment="1">
      <alignment vertical="top"/>
    </xf>
    <xf numFmtId="0" fontId="2" fillId="5" borderId="0" xfId="0" applyNumberFormat="1" applyFont="1" applyFill="1" applyBorder="1" applyAlignment="1">
      <alignment vertical="top" wrapText="1"/>
    </xf>
    <xf numFmtId="3" fontId="2" fillId="5" borderId="0" xfId="0" applyNumberFormat="1" applyFont="1" applyFill="1" applyBorder="1" applyAlignment="1">
      <alignment vertical="top"/>
    </xf>
    <xf numFmtId="178" fontId="2" fillId="5" borderId="0" xfId="0" applyNumberFormat="1" applyFont="1" applyFill="1" applyBorder="1" applyAlignment="1">
      <alignment vertical="top"/>
    </xf>
    <xf numFmtId="1" fontId="2" fillId="5" borderId="0" xfId="0" applyNumberFormat="1" applyFont="1" applyFill="1" applyBorder="1" applyAlignment="1">
      <alignment vertical="top"/>
    </xf>
    <xf numFmtId="179" fontId="2" fillId="5" borderId="0" xfId="0" applyNumberFormat="1" applyFont="1" applyFill="1" applyBorder="1" applyAlignment="1">
      <alignment vertical="top"/>
    </xf>
    <xf numFmtId="0" fontId="3" fillId="2" borderId="0" xfId="0" applyNumberFormat="1" applyFont="1" applyFill="1" applyBorder="1" applyAlignment="1">
      <alignment vertical="center"/>
    </xf>
    <xf numFmtId="0" fontId="4" fillId="6" borderId="0" xfId="0" applyNumberFormat="1" applyFont="1" applyFill="1" applyBorder="1"/>
    <xf numFmtId="0" fontId="5" fillId="3" borderId="4" xfId="0" applyNumberFormat="1" applyFont="1" applyFill="1" applyBorder="1"/>
    <xf numFmtId="3" fontId="6" fillId="3" borderId="5" xfId="0" applyNumberFormat="1" applyFont="1" applyFill="1" applyBorder="1"/>
    <xf numFmtId="0" fontId="7" fillId="7" borderId="0" xfId="0" applyNumberFormat="1" applyFont="1" applyFill="1" applyBorder="1"/>
    <xf numFmtId="0" fontId="5" fillId="3" borderId="6" xfId="0" applyNumberFormat="1" applyFont="1" applyFill="1" applyBorder="1"/>
    <xf numFmtId="3" fontId="6" fillId="3" borderId="7" xfId="0" applyNumberFormat="1" applyFont="1" applyFill="1" applyBorder="1"/>
    <xf numFmtId="0" fontId="5" fillId="8" borderId="4" xfId="0" applyNumberFormat="1" applyFont="1" applyFill="1" applyBorder="1"/>
    <xf numFmtId="0" fontId="5" fillId="8" borderId="8" xfId="0" applyNumberFormat="1" applyFont="1" applyFill="1" applyBorder="1"/>
    <xf numFmtId="0" fontId="5" fillId="8" borderId="5" xfId="0" applyNumberFormat="1" applyFont="1" applyFill="1" applyBorder="1"/>
    <xf numFmtId="0" fontId="0" fillId="0" borderId="6" xfId="0" applyNumberFormat="1" applyFont="1" applyFill="1" applyBorder="1"/>
    <xf numFmtId="0" fontId="0" fillId="0" borderId="0" xfId="0" applyNumberFormat="1" applyFont="1" applyFill="1" applyBorder="1"/>
    <xf numFmtId="3" fontId="0" fillId="0" borderId="0" xfId="0" applyNumberFormat="1" applyFont="1" applyFill="1" applyBorder="1"/>
    <xf numFmtId="0" fontId="0" fillId="0" borderId="7" xfId="0" applyNumberFormat="1" applyFont="1" applyFill="1" applyBorder="1"/>
    <xf numFmtId="0" fontId="0" fillId="0" borderId="9" xfId="0" applyNumberFormat="1" applyFont="1" applyFill="1" applyBorder="1"/>
    <xf numFmtId="0" fontId="0" fillId="0" borderId="10" xfId="0" applyNumberFormat="1" applyFont="1" applyFill="1" applyBorder="1"/>
    <xf numFmtId="3" fontId="0" fillId="0" borderId="10" xfId="0" applyNumberFormat="1" applyFont="1" applyFill="1" applyBorder="1"/>
    <xf numFmtId="0" fontId="0" fillId="0" borderId="11" xfId="0" applyNumberFormat="1" applyFont="1" applyFill="1" applyBorder="1"/>
    <xf numFmtId="0" fontId="5" fillId="3" borderId="9" xfId="0" applyNumberFormat="1" applyFont="1" applyFill="1" applyBorder="1"/>
    <xf numFmtId="3" fontId="6" fillId="3" borderId="11" xfId="0" applyNumberFormat="1" applyFont="1" applyFill="1" applyBorder="1"/>
    <xf numFmtId="0" fontId="7" fillId="2" borderId="0" xfId="0" applyNumberFormat="1" applyFont="1" applyFill="1" applyBorder="1"/>
    <xf numFmtId="0" fontId="8" fillId="3" borderId="0" xfId="0" applyNumberFormat="1" applyFont="1" applyFill="1" applyBorder="1" applyAlignment="1">
      <alignment wrapText="1"/>
    </xf>
    <xf numFmtId="0" fontId="9" fillId="3" borderId="0" xfId="0" applyNumberFormat="1" applyFont="1" applyFill="1" applyBorder="1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KeywordResearchTable" displayName="KeywordResearchTable" ref="A1:W29" totalsRowShown="0">
  <tableColumns count="23">
    <tableColumn id="1" name="Orden"/>
    <tableColumn id="2" name="ID clúster"/>
    <tableColumn id="3" name="Clúster"/>
    <tableColumn id="4" name="Estado de agrupación"/>
    <tableColumn id="5" name="Rol en clúster"/>
    <tableColumn id="6" name="Keyword"/>
    <tableColumn id="7" name="Keyword de referencia SERP"/>
    <tableColumn id="8" name="Intención dominante"/>
    <tableColumn id="9" name="Intención secundaria"/>
    <tableColumn id="10" name="Búsquedas mensuales promedio"/>
    <tableColumn id="11" name="Cambio 3 meses (%)"/>
    <tableColumn id="12" name="Cambio interanual (%)"/>
    <tableColumn id="13" name="Competencia Google Ads"/>
    <tableColumn id="14" name="Índice competencia Ads"/>
    <tableColumn id="15" name="Puja parte superior baja (USD)"/>
    <tableColumn id="16" name="Puja parte superior alta (USD)"/>
    <tableColumn id="17" name="URLs compartidas con referencia"/>
    <tableColumn id="18" name="Confianza de agrupación"/>
    <tableColumn id="19" name="Periodo de datos"/>
    <tableColumn id="20" name="Mercado Keyword Planner"/>
    <tableColumn id="21" name="Idioma Keyword Planner"/>
    <tableColumn id="22" name="Configuración SERP"/>
    <tableColumn id="23" name="Notas metodológic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workbookViewId="0">
      <selection activeCell="A1" sqref="A1:H1"/>
    </sheetView>
  </sheetViews>
  <sheetFormatPr defaultColWidth="9" defaultRowHeight="16.8" outlineLevelCol="7"/>
  <cols>
    <col min="1" max="1" width="31" customWidth="1"/>
    <col min="2" max="2" width="16" customWidth="1"/>
    <col min="3" max="3" width="4" customWidth="1"/>
    <col min="4" max="4" width="12" customWidth="1"/>
    <col min="5" max="5" width="42" customWidth="1"/>
    <col min="6" max="6" width="12" customWidth="1"/>
    <col min="7" max="8" width="18" customWidth="1"/>
  </cols>
  <sheetData>
    <row r="1" ht="38" customHeight="1" spans="1:8">
      <c r="A1" s="22" t="s">
        <v>0</v>
      </c>
      <c r="B1" s="22"/>
      <c r="C1" s="22"/>
      <c r="D1" s="22"/>
      <c r="E1" s="22"/>
      <c r="F1" s="22"/>
      <c r="G1" s="22"/>
      <c r="H1" s="22"/>
    </row>
    <row r="2" spans="1:8">
      <c r="A2" s="23" t="s">
        <v>1</v>
      </c>
      <c r="B2" s="23"/>
      <c r="C2" s="23"/>
      <c r="D2" s="23"/>
      <c r="E2" s="23"/>
      <c r="F2" s="23"/>
      <c r="G2" s="23"/>
      <c r="H2" s="23"/>
    </row>
    <row r="4" ht="20.4" spans="1:8">
      <c r="A4" s="24" t="s">
        <v>2</v>
      </c>
      <c r="B4" s="25">
        <f>COUNTA(Datos!F2:F29)</f>
        <v>28</v>
      </c>
      <c r="D4" s="26" t="s">
        <v>3</v>
      </c>
      <c r="E4" s="26"/>
      <c r="F4" s="26"/>
      <c r="G4" s="26"/>
      <c r="H4" s="26"/>
    </row>
    <row r="5" ht="20.4" spans="1:8">
      <c r="A5" s="27" t="s">
        <v>4</v>
      </c>
      <c r="B5" s="28">
        <f>COUNTA(Datos!B2:B29)-COUNTIF(Datos!B2:B29,"C1")-COUNTIF(Datos!B2:B29,"C1-B")-COUNTIF(Datos!B2:B29,"C2")+3</f>
        <v>3</v>
      </c>
      <c r="D5" s="29" t="s">
        <v>5</v>
      </c>
      <c r="E5" s="30" t="s">
        <v>6</v>
      </c>
      <c r="F5" s="30" t="s">
        <v>7</v>
      </c>
      <c r="G5" s="30" t="s">
        <v>8</v>
      </c>
      <c r="H5" s="31" t="s">
        <v>9</v>
      </c>
    </row>
    <row r="6" ht="20.4" spans="1:8">
      <c r="A6" s="27" t="s">
        <v>10</v>
      </c>
      <c r="B6" s="28">
        <f>COUNTIF(Datos!H2:H29,"Informativa")</f>
        <v>26</v>
      </c>
      <c r="D6" s="32" t="s">
        <v>11</v>
      </c>
      <c r="E6" s="33" t="s">
        <v>12</v>
      </c>
      <c r="F6" s="34">
        <v>26</v>
      </c>
      <c r="G6" s="34">
        <v>11200</v>
      </c>
      <c r="H6" s="35" t="s">
        <v>13</v>
      </c>
    </row>
    <row r="7" ht="20.4" spans="1:8">
      <c r="A7" s="27" t="s">
        <v>14</v>
      </c>
      <c r="B7" s="28">
        <f>COUNTIF(Datos!H2:H29,"Mixta: informativa + comercial")</f>
        <v>1</v>
      </c>
      <c r="D7" s="32" t="s">
        <v>15</v>
      </c>
      <c r="E7" s="33" t="s">
        <v>16</v>
      </c>
      <c r="F7" s="34">
        <v>1</v>
      </c>
      <c r="G7" s="34">
        <v>5000</v>
      </c>
      <c r="H7" s="35" t="s">
        <v>17</v>
      </c>
    </row>
    <row r="8" ht="20.4" spans="1:8">
      <c r="A8" s="27" t="s">
        <v>18</v>
      </c>
      <c r="B8" s="28">
        <f>COUNTIF(Datos!H2:H29,"Comercial/transaccional")</f>
        <v>1</v>
      </c>
      <c r="D8" s="36" t="s">
        <v>19</v>
      </c>
      <c r="E8" s="37" t="s">
        <v>20</v>
      </c>
      <c r="F8" s="38">
        <v>1</v>
      </c>
      <c r="G8" s="38">
        <v>50</v>
      </c>
      <c r="H8" s="39" t="s">
        <v>21</v>
      </c>
    </row>
    <row r="9" ht="20.4" spans="1:8">
      <c r="A9" s="40" t="s">
        <v>22</v>
      </c>
      <c r="B9" s="41">
        <f>SUM(Datos!J2:J29)</f>
        <v>16250</v>
      </c>
    </row>
    <row r="11" spans="1:8">
      <c r="A11" s="42" t="s">
        <v>23</v>
      </c>
      <c r="B11" s="42"/>
      <c r="C11" s="42"/>
      <c r="D11" s="42"/>
      <c r="E11" s="42"/>
      <c r="F11" s="42"/>
      <c r="G11" s="42"/>
      <c r="H11" s="42"/>
    </row>
    <row r="12" ht="28" customHeight="1" spans="1:8">
      <c r="A12" s="43" t="s">
        <v>24</v>
      </c>
      <c r="B12" s="43"/>
      <c r="C12" s="43"/>
      <c r="D12" s="43"/>
      <c r="E12" s="43"/>
      <c r="F12" s="43"/>
      <c r="G12" s="43"/>
      <c r="H12" s="43"/>
    </row>
    <row r="13" ht="28" customHeight="1" spans="1:8">
      <c r="A13" s="43" t="s">
        <v>25</v>
      </c>
      <c r="B13" s="43"/>
      <c r="C13" s="43"/>
      <c r="D13" s="43"/>
      <c r="E13" s="43"/>
      <c r="F13" s="43"/>
      <c r="G13" s="43"/>
      <c r="H13" s="43"/>
    </row>
    <row r="14" ht="28" customHeight="1" spans="1:8">
      <c r="A14" s="43" t="s">
        <v>26</v>
      </c>
      <c r="B14" s="43"/>
      <c r="C14" s="43"/>
      <c r="D14" s="43"/>
      <c r="E14" s="43"/>
      <c r="F14" s="43"/>
      <c r="G14" s="43"/>
      <c r="H14" s="43"/>
    </row>
    <row r="15" ht="28" customHeight="1" spans="1:8">
      <c r="A15" s="43" t="s">
        <v>27</v>
      </c>
      <c r="B15" s="43"/>
      <c r="C15" s="43"/>
      <c r="D15" s="43"/>
      <c r="E15" s="43"/>
      <c r="F15" s="43"/>
      <c r="G15" s="43"/>
      <c r="H15" s="43"/>
    </row>
    <row r="16" ht="28" customHeight="1" spans="1:8">
      <c r="A16" s="43" t="s">
        <v>28</v>
      </c>
      <c r="B16" s="43"/>
      <c r="C16" s="43"/>
      <c r="D16" s="43"/>
      <c r="E16" s="43"/>
      <c r="F16" s="43"/>
      <c r="G16" s="43"/>
      <c r="H16" s="43"/>
    </row>
    <row r="18" spans="1:8">
      <c r="A18" s="26" t="s">
        <v>29</v>
      </c>
      <c r="B18" s="26"/>
      <c r="C18" s="26"/>
      <c r="D18" s="26"/>
      <c r="E18" s="26"/>
      <c r="F18" s="26"/>
      <c r="G18" s="26"/>
      <c r="H18" s="26"/>
    </row>
    <row r="19" spans="1:8">
      <c r="A19" s="44" t="s">
        <v>30</v>
      </c>
      <c r="B19" s="44"/>
      <c r="C19" s="44"/>
      <c r="D19" s="44"/>
      <c r="E19" s="44"/>
      <c r="F19" s="44"/>
      <c r="G19" s="44"/>
      <c r="H19" s="44"/>
    </row>
    <row r="20" spans="1:8">
      <c r="A20" s="44" t="s">
        <v>31</v>
      </c>
      <c r="B20" s="44"/>
      <c r="C20" s="44"/>
      <c r="D20" s="44"/>
      <c r="E20" s="44"/>
      <c r="F20" s="44"/>
      <c r="G20" s="44"/>
      <c r="H20" s="44"/>
    </row>
    <row r="21" spans="1:8">
      <c r="A21" s="44" t="s">
        <v>32</v>
      </c>
      <c r="B21" s="44"/>
      <c r="C21" s="44"/>
      <c r="D21" s="44"/>
      <c r="E21" s="44"/>
      <c r="F21" s="44"/>
      <c r="G21" s="44"/>
      <c r="H21" s="44"/>
    </row>
  </sheetData>
  <mergeCells count="13">
    <mergeCell ref="A1:H1"/>
    <mergeCell ref="A2:H2"/>
    <mergeCell ref="D4:H4"/>
    <mergeCell ref="A11:H11"/>
    <mergeCell ref="A12:H12"/>
    <mergeCell ref="A13:H13"/>
    <mergeCell ref="A14:H14"/>
    <mergeCell ref="A15:H15"/>
    <mergeCell ref="A16:H16"/>
    <mergeCell ref="A18:H18"/>
    <mergeCell ref="A19:H19"/>
    <mergeCell ref="A20:H20"/>
    <mergeCell ref="A21:H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showGridLines="0" tabSelected="1" workbookViewId="0">
      <selection activeCell="F28" sqref="F28"/>
    </sheetView>
  </sheetViews>
  <sheetFormatPr defaultColWidth="9" defaultRowHeight="16.8"/>
  <cols>
    <col min="1" max="1" width="8" customWidth="1"/>
    <col min="2" max="2" width="10" customWidth="1"/>
    <col min="3" max="3" width="31" customWidth="1"/>
    <col min="4" max="4" width="22" customWidth="1"/>
    <col min="5" max="5" width="20" customWidth="1"/>
    <col min="6" max="6" width="39" customWidth="1"/>
    <col min="7" max="7" width="34" customWidth="1"/>
    <col min="8" max="8" width="25" customWidth="1"/>
    <col min="9" max="9" width="38" customWidth="1"/>
    <col min="10" max="10" width="17" customWidth="1"/>
    <col min="11" max="12" width="16" customWidth="1"/>
    <col min="13" max="13" width="18" customWidth="1"/>
    <col min="14" max="14" width="17" customWidth="1"/>
    <col min="15" max="16" width="20" customWidth="1"/>
    <col min="17" max="17" width="18" customWidth="1"/>
    <col min="18" max="18" width="21" customWidth="1"/>
    <col min="19" max="19" width="22" customWidth="1"/>
    <col min="20" max="21" width="20" customWidth="1"/>
    <col min="22" max="22" width="42" customWidth="1"/>
    <col min="23" max="23" width="55" customWidth="1"/>
  </cols>
  <sheetData>
    <row r="1" ht="42" customHeight="1" spans="1:23">
      <c r="A1" s="1" t="s">
        <v>33</v>
      </c>
      <c r="B1" s="2" t="s">
        <v>34</v>
      </c>
      <c r="C1" s="2" t="s">
        <v>6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3" t="s">
        <v>54</v>
      </c>
    </row>
    <row r="2" ht="34" customHeight="1" spans="1:23">
      <c r="A2" s="4">
        <v>1</v>
      </c>
      <c r="B2" s="4" t="s">
        <v>11</v>
      </c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6">
        <v>5000</v>
      </c>
      <c r="K2" s="7">
        <v>0</v>
      </c>
      <c r="L2" s="7">
        <v>0</v>
      </c>
      <c r="M2" s="4" t="s">
        <v>62</v>
      </c>
      <c r="N2" s="8">
        <v>8</v>
      </c>
      <c r="O2" s="9">
        <v>0.03</v>
      </c>
      <c r="P2" s="9">
        <v>1.11</v>
      </c>
      <c r="Q2" s="8">
        <v>4</v>
      </c>
      <c r="R2" s="5" t="s">
        <v>63</v>
      </c>
      <c r="S2" s="5" t="s">
        <v>64</v>
      </c>
      <c r="T2" s="5" t="s">
        <v>65</v>
      </c>
      <c r="U2" s="5" t="s">
        <v>66</v>
      </c>
      <c r="V2" s="5" t="s">
        <v>67</v>
      </c>
      <c r="W2" s="5" t="s">
        <v>68</v>
      </c>
    </row>
    <row r="3" ht="34" customHeight="1" spans="1:23">
      <c r="A3" s="4">
        <v>2</v>
      </c>
      <c r="B3" s="4" t="s">
        <v>11</v>
      </c>
      <c r="C3" s="5" t="s">
        <v>55</v>
      </c>
      <c r="D3" s="5" t="s">
        <v>56</v>
      </c>
      <c r="E3" s="5" t="s">
        <v>69</v>
      </c>
      <c r="F3" s="5" t="s">
        <v>59</v>
      </c>
      <c r="G3" s="5" t="s">
        <v>59</v>
      </c>
      <c r="H3" s="5" t="s">
        <v>60</v>
      </c>
      <c r="I3" s="5" t="s">
        <v>70</v>
      </c>
      <c r="J3" s="6">
        <v>50</v>
      </c>
      <c r="K3" s="7">
        <v>0</v>
      </c>
      <c r="L3" s="7">
        <v>0</v>
      </c>
      <c r="M3" s="4" t="s">
        <v>62</v>
      </c>
      <c r="N3" s="8">
        <v>3</v>
      </c>
      <c r="O3" s="9"/>
      <c r="P3" s="9"/>
      <c r="Q3" s="8">
        <v>9</v>
      </c>
      <c r="R3" s="5" t="s">
        <v>71</v>
      </c>
      <c r="S3" s="5" t="s">
        <v>64</v>
      </c>
      <c r="T3" s="5" t="s">
        <v>65</v>
      </c>
      <c r="U3" s="5" t="s">
        <v>66</v>
      </c>
      <c r="V3" s="5" t="s">
        <v>67</v>
      </c>
      <c r="W3" s="5" t="s">
        <v>72</v>
      </c>
    </row>
    <row r="4" ht="34" customHeight="1" spans="1:23">
      <c r="A4" s="4">
        <v>3</v>
      </c>
      <c r="B4" s="4" t="s">
        <v>11</v>
      </c>
      <c r="C4" s="5" t="s">
        <v>55</v>
      </c>
      <c r="D4" s="5" t="s">
        <v>56</v>
      </c>
      <c r="E4" s="5" t="s">
        <v>73</v>
      </c>
      <c r="F4" s="5" t="s">
        <v>74</v>
      </c>
      <c r="G4" s="5" t="s">
        <v>59</v>
      </c>
      <c r="H4" s="5" t="s">
        <v>60</v>
      </c>
      <c r="I4" s="5" t="s">
        <v>61</v>
      </c>
      <c r="J4" s="6">
        <v>500</v>
      </c>
      <c r="K4" s="7">
        <v>-90</v>
      </c>
      <c r="L4" s="7">
        <v>0</v>
      </c>
      <c r="M4" s="4" t="s">
        <v>62</v>
      </c>
      <c r="N4" s="8">
        <v>3</v>
      </c>
      <c r="O4" s="9"/>
      <c r="P4" s="9"/>
      <c r="Q4" s="8">
        <v>5</v>
      </c>
      <c r="R4" s="5" t="s">
        <v>71</v>
      </c>
      <c r="S4" s="5" t="s">
        <v>64</v>
      </c>
      <c r="T4" s="5" t="s">
        <v>65</v>
      </c>
      <c r="U4" s="5" t="s">
        <v>66</v>
      </c>
      <c r="V4" s="5" t="s">
        <v>67</v>
      </c>
      <c r="W4" s="5" t="s">
        <v>75</v>
      </c>
    </row>
    <row r="5" ht="34" customHeight="1" spans="1:23">
      <c r="A5" s="4">
        <v>4</v>
      </c>
      <c r="B5" s="4" t="s">
        <v>11</v>
      </c>
      <c r="C5" s="5" t="s">
        <v>55</v>
      </c>
      <c r="D5" s="5" t="s">
        <v>56</v>
      </c>
      <c r="E5" s="5" t="s">
        <v>73</v>
      </c>
      <c r="F5" s="5" t="s">
        <v>76</v>
      </c>
      <c r="G5" s="5" t="s">
        <v>59</v>
      </c>
      <c r="H5" s="5" t="s">
        <v>60</v>
      </c>
      <c r="I5" s="5" t="s">
        <v>61</v>
      </c>
      <c r="J5" s="6">
        <v>500</v>
      </c>
      <c r="K5" s="7">
        <v>0</v>
      </c>
      <c r="L5" s="7">
        <v>900</v>
      </c>
      <c r="M5" s="4" t="s">
        <v>62</v>
      </c>
      <c r="N5" s="8">
        <v>1</v>
      </c>
      <c r="O5" s="9">
        <v>0.03</v>
      </c>
      <c r="P5" s="9">
        <v>15.81</v>
      </c>
      <c r="Q5" s="8">
        <v>4</v>
      </c>
      <c r="R5" s="5" t="s">
        <v>63</v>
      </c>
      <c r="S5" s="5" t="s">
        <v>64</v>
      </c>
      <c r="T5" s="5" t="s">
        <v>65</v>
      </c>
      <c r="U5" s="5" t="s">
        <v>66</v>
      </c>
      <c r="V5" s="5" t="s">
        <v>67</v>
      </c>
      <c r="W5" s="5" t="s">
        <v>68</v>
      </c>
    </row>
    <row r="6" ht="34" customHeight="1" spans="1:23">
      <c r="A6" s="4">
        <v>5</v>
      </c>
      <c r="B6" s="4" t="s">
        <v>11</v>
      </c>
      <c r="C6" s="5" t="s">
        <v>55</v>
      </c>
      <c r="D6" s="5" t="s">
        <v>56</v>
      </c>
      <c r="E6" s="5" t="s">
        <v>73</v>
      </c>
      <c r="F6" s="5" t="s">
        <v>77</v>
      </c>
      <c r="G6" s="5" t="s">
        <v>59</v>
      </c>
      <c r="H6" s="5" t="s">
        <v>60</v>
      </c>
      <c r="I6" s="5" t="s">
        <v>70</v>
      </c>
      <c r="J6" s="6">
        <v>500</v>
      </c>
      <c r="K6" s="7">
        <v>0</v>
      </c>
      <c r="L6" s="7">
        <v>0</v>
      </c>
      <c r="M6" s="4" t="s">
        <v>62</v>
      </c>
      <c r="N6" s="8">
        <v>5</v>
      </c>
      <c r="O6" s="9">
        <v>0.03</v>
      </c>
      <c r="P6" s="9">
        <v>0.23</v>
      </c>
      <c r="Q6" s="8">
        <v>7</v>
      </c>
      <c r="R6" s="5" t="s">
        <v>71</v>
      </c>
      <c r="S6" s="5" t="s">
        <v>64</v>
      </c>
      <c r="T6" s="5" t="s">
        <v>65</v>
      </c>
      <c r="U6" s="5" t="s">
        <v>66</v>
      </c>
      <c r="V6" s="5" t="s">
        <v>67</v>
      </c>
      <c r="W6" s="5" t="s">
        <v>78</v>
      </c>
    </row>
    <row r="7" ht="34" customHeight="1" spans="1:23">
      <c r="A7" s="4">
        <v>6</v>
      </c>
      <c r="B7" s="4" t="s">
        <v>11</v>
      </c>
      <c r="C7" s="5" t="s">
        <v>55</v>
      </c>
      <c r="D7" s="5" t="s">
        <v>56</v>
      </c>
      <c r="E7" s="5" t="s">
        <v>73</v>
      </c>
      <c r="F7" s="5" t="s">
        <v>79</v>
      </c>
      <c r="G7" s="5" t="s">
        <v>59</v>
      </c>
      <c r="H7" s="5" t="s">
        <v>60</v>
      </c>
      <c r="I7" s="5" t="s">
        <v>61</v>
      </c>
      <c r="J7" s="6">
        <v>500</v>
      </c>
      <c r="K7" s="7">
        <v>0</v>
      </c>
      <c r="L7" s="7">
        <v>900</v>
      </c>
      <c r="M7" s="4" t="s">
        <v>62</v>
      </c>
      <c r="N7" s="8">
        <v>1</v>
      </c>
      <c r="O7" s="9">
        <v>0.03</v>
      </c>
      <c r="P7" s="9">
        <v>15.81</v>
      </c>
      <c r="Q7" s="8">
        <v>5</v>
      </c>
      <c r="R7" s="5" t="s">
        <v>71</v>
      </c>
      <c r="S7" s="5" t="s">
        <v>64</v>
      </c>
      <c r="T7" s="5" t="s">
        <v>65</v>
      </c>
      <c r="U7" s="5" t="s">
        <v>66</v>
      </c>
      <c r="V7" s="5" t="s">
        <v>67</v>
      </c>
      <c r="W7" s="5" t="s">
        <v>75</v>
      </c>
    </row>
    <row r="8" ht="34" customHeight="1" spans="1:23">
      <c r="A8" s="4">
        <v>7</v>
      </c>
      <c r="B8" s="4" t="s">
        <v>11</v>
      </c>
      <c r="C8" s="5" t="s">
        <v>55</v>
      </c>
      <c r="D8" s="5" t="s">
        <v>56</v>
      </c>
      <c r="E8" s="5" t="s">
        <v>73</v>
      </c>
      <c r="F8" s="5" t="s">
        <v>80</v>
      </c>
      <c r="G8" s="5" t="s">
        <v>59</v>
      </c>
      <c r="H8" s="5" t="s">
        <v>60</v>
      </c>
      <c r="I8" s="5" t="s">
        <v>61</v>
      </c>
      <c r="J8" s="6">
        <v>500</v>
      </c>
      <c r="K8" s="7">
        <v>0</v>
      </c>
      <c r="L8" s="7">
        <v>0</v>
      </c>
      <c r="M8" s="4" t="s">
        <v>62</v>
      </c>
      <c r="N8" s="8">
        <v>4</v>
      </c>
      <c r="O8" s="9">
        <v>0.03</v>
      </c>
      <c r="P8" s="9">
        <v>0.65</v>
      </c>
      <c r="Q8" s="8">
        <v>4</v>
      </c>
      <c r="R8" s="5" t="s">
        <v>63</v>
      </c>
      <c r="S8" s="5" t="s">
        <v>64</v>
      </c>
      <c r="T8" s="5" t="s">
        <v>65</v>
      </c>
      <c r="U8" s="5" t="s">
        <v>66</v>
      </c>
      <c r="V8" s="5" t="s">
        <v>67</v>
      </c>
      <c r="W8" s="5" t="s">
        <v>68</v>
      </c>
    </row>
    <row r="9" ht="34" customHeight="1" spans="1:23">
      <c r="A9" s="4">
        <v>8</v>
      </c>
      <c r="B9" s="4" t="s">
        <v>11</v>
      </c>
      <c r="C9" s="5" t="s">
        <v>55</v>
      </c>
      <c r="D9" s="5" t="s">
        <v>56</v>
      </c>
      <c r="E9" s="5" t="s">
        <v>73</v>
      </c>
      <c r="F9" s="5" t="s">
        <v>81</v>
      </c>
      <c r="G9" s="5" t="s">
        <v>59</v>
      </c>
      <c r="H9" s="5" t="s">
        <v>60</v>
      </c>
      <c r="I9" s="5" t="s">
        <v>61</v>
      </c>
      <c r="J9" s="6">
        <v>500</v>
      </c>
      <c r="K9" s="7">
        <v>0</v>
      </c>
      <c r="L9" s="7">
        <v>0</v>
      </c>
      <c r="M9" s="4" t="s">
        <v>62</v>
      </c>
      <c r="N9" s="8">
        <v>7</v>
      </c>
      <c r="O9" s="9">
        <v>0.03</v>
      </c>
      <c r="P9" s="9">
        <v>0.03</v>
      </c>
      <c r="Q9" s="8">
        <v>6</v>
      </c>
      <c r="R9" s="5" t="s">
        <v>71</v>
      </c>
      <c r="S9" s="5" t="s">
        <v>64</v>
      </c>
      <c r="T9" s="5" t="s">
        <v>65</v>
      </c>
      <c r="U9" s="5" t="s">
        <v>66</v>
      </c>
      <c r="V9" s="5" t="s">
        <v>67</v>
      </c>
      <c r="W9" s="5" t="s">
        <v>82</v>
      </c>
    </row>
    <row r="10" ht="34" customHeight="1" spans="1:23">
      <c r="A10" s="4">
        <v>9</v>
      </c>
      <c r="B10" s="4" t="s">
        <v>11</v>
      </c>
      <c r="C10" s="5" t="s">
        <v>55</v>
      </c>
      <c r="D10" s="5" t="s">
        <v>56</v>
      </c>
      <c r="E10" s="5" t="s">
        <v>73</v>
      </c>
      <c r="F10" s="5" t="s">
        <v>83</v>
      </c>
      <c r="G10" s="5" t="s">
        <v>59</v>
      </c>
      <c r="H10" s="5" t="s">
        <v>60</v>
      </c>
      <c r="I10" s="5" t="s">
        <v>61</v>
      </c>
      <c r="J10" s="6">
        <v>500</v>
      </c>
      <c r="K10" s="7">
        <v>0</v>
      </c>
      <c r="L10" s="7">
        <v>900</v>
      </c>
      <c r="M10" s="4" t="s">
        <v>62</v>
      </c>
      <c r="N10" s="8">
        <v>4</v>
      </c>
      <c r="O10" s="9">
        <v>0.02</v>
      </c>
      <c r="P10" s="9">
        <v>0.03</v>
      </c>
      <c r="Q10" s="8">
        <v>5</v>
      </c>
      <c r="R10" s="5" t="s">
        <v>71</v>
      </c>
      <c r="S10" s="5" t="s">
        <v>64</v>
      </c>
      <c r="T10" s="5" t="s">
        <v>65</v>
      </c>
      <c r="U10" s="5" t="s">
        <v>66</v>
      </c>
      <c r="V10" s="5" t="s">
        <v>67</v>
      </c>
      <c r="W10" s="5" t="s">
        <v>75</v>
      </c>
    </row>
    <row r="11" ht="34" customHeight="1" spans="1:23">
      <c r="A11" s="4">
        <v>10</v>
      </c>
      <c r="B11" s="4" t="s">
        <v>11</v>
      </c>
      <c r="C11" s="5" t="s">
        <v>55</v>
      </c>
      <c r="D11" s="5" t="s">
        <v>56</v>
      </c>
      <c r="E11" s="5" t="s">
        <v>73</v>
      </c>
      <c r="F11" s="5" t="s">
        <v>84</v>
      </c>
      <c r="G11" s="5" t="s">
        <v>59</v>
      </c>
      <c r="H11" s="5" t="s">
        <v>60</v>
      </c>
      <c r="I11" s="5" t="s">
        <v>61</v>
      </c>
      <c r="J11" s="6">
        <v>500</v>
      </c>
      <c r="K11" s="7">
        <v>-90</v>
      </c>
      <c r="L11" s="7">
        <v>-90</v>
      </c>
      <c r="M11" s="4" t="s">
        <v>62</v>
      </c>
      <c r="N11" s="8">
        <v>5</v>
      </c>
      <c r="O11" s="9">
        <v>0.03</v>
      </c>
      <c r="P11" s="9">
        <v>0.03</v>
      </c>
      <c r="Q11" s="8">
        <v>6</v>
      </c>
      <c r="R11" s="5" t="s">
        <v>71</v>
      </c>
      <c r="S11" s="5" t="s">
        <v>64</v>
      </c>
      <c r="T11" s="5" t="s">
        <v>65</v>
      </c>
      <c r="U11" s="5" t="s">
        <v>66</v>
      </c>
      <c r="V11" s="5" t="s">
        <v>67</v>
      </c>
      <c r="W11" s="5" t="s">
        <v>82</v>
      </c>
    </row>
    <row r="12" ht="34" customHeight="1" spans="1:23">
      <c r="A12" s="4">
        <v>11</v>
      </c>
      <c r="B12" s="4" t="s">
        <v>11</v>
      </c>
      <c r="C12" s="5" t="s">
        <v>55</v>
      </c>
      <c r="D12" s="5" t="s">
        <v>56</v>
      </c>
      <c r="E12" s="5" t="s">
        <v>73</v>
      </c>
      <c r="F12" s="5" t="s">
        <v>85</v>
      </c>
      <c r="G12" s="5" t="s">
        <v>59</v>
      </c>
      <c r="H12" s="5" t="s">
        <v>60</v>
      </c>
      <c r="I12" s="5" t="s">
        <v>61</v>
      </c>
      <c r="J12" s="6">
        <v>500</v>
      </c>
      <c r="K12" s="7">
        <v>0</v>
      </c>
      <c r="L12" s="7">
        <v>0</v>
      </c>
      <c r="M12" s="4" t="s">
        <v>62</v>
      </c>
      <c r="N12" s="8">
        <v>5</v>
      </c>
      <c r="O12" s="9">
        <v>0.03</v>
      </c>
      <c r="P12" s="9">
        <v>0.03</v>
      </c>
      <c r="Q12" s="8">
        <v>5</v>
      </c>
      <c r="R12" s="5" t="s">
        <v>71</v>
      </c>
      <c r="S12" s="5" t="s">
        <v>64</v>
      </c>
      <c r="T12" s="5" t="s">
        <v>65</v>
      </c>
      <c r="U12" s="5" t="s">
        <v>66</v>
      </c>
      <c r="V12" s="5" t="s">
        <v>67</v>
      </c>
      <c r="W12" s="5" t="s">
        <v>75</v>
      </c>
    </row>
    <row r="13" ht="34" customHeight="1" spans="1:23">
      <c r="A13" s="4">
        <v>12</v>
      </c>
      <c r="B13" s="4" t="s">
        <v>11</v>
      </c>
      <c r="C13" s="5" t="s">
        <v>55</v>
      </c>
      <c r="D13" s="5" t="s">
        <v>56</v>
      </c>
      <c r="E13" s="5" t="s">
        <v>73</v>
      </c>
      <c r="F13" s="5" t="s">
        <v>86</v>
      </c>
      <c r="G13" s="5" t="s">
        <v>59</v>
      </c>
      <c r="H13" s="5" t="s">
        <v>60</v>
      </c>
      <c r="I13" s="5" t="s">
        <v>61</v>
      </c>
      <c r="J13" s="6">
        <v>500</v>
      </c>
      <c r="K13" s="7">
        <v>0</v>
      </c>
      <c r="L13" s="7">
        <v>0</v>
      </c>
      <c r="M13" s="4" t="s">
        <v>62</v>
      </c>
      <c r="N13" s="8">
        <v>5</v>
      </c>
      <c r="O13" s="9">
        <v>0.03</v>
      </c>
      <c r="P13" s="9">
        <v>0.03</v>
      </c>
      <c r="Q13" s="8">
        <v>5</v>
      </c>
      <c r="R13" s="5" t="s">
        <v>71</v>
      </c>
      <c r="S13" s="5" t="s">
        <v>64</v>
      </c>
      <c r="T13" s="5" t="s">
        <v>65</v>
      </c>
      <c r="U13" s="5" t="s">
        <v>66</v>
      </c>
      <c r="V13" s="5" t="s">
        <v>67</v>
      </c>
      <c r="W13" s="5" t="s">
        <v>75</v>
      </c>
    </row>
    <row r="14" ht="34" customHeight="1" spans="1:23">
      <c r="A14" s="4">
        <v>13</v>
      </c>
      <c r="B14" s="4" t="s">
        <v>11</v>
      </c>
      <c r="C14" s="5" t="s">
        <v>55</v>
      </c>
      <c r="D14" s="5" t="s">
        <v>56</v>
      </c>
      <c r="E14" s="5" t="s">
        <v>73</v>
      </c>
      <c r="F14" s="5" t="s">
        <v>87</v>
      </c>
      <c r="G14" s="5" t="s">
        <v>59</v>
      </c>
      <c r="H14" s="5" t="s">
        <v>60</v>
      </c>
      <c r="I14" s="5" t="s">
        <v>61</v>
      </c>
      <c r="J14" s="6">
        <v>500</v>
      </c>
      <c r="K14" s="7">
        <v>0</v>
      </c>
      <c r="L14" s="7">
        <v>900</v>
      </c>
      <c r="M14" s="4" t="s">
        <v>62</v>
      </c>
      <c r="N14" s="8">
        <v>1</v>
      </c>
      <c r="O14" s="9"/>
      <c r="P14" s="9"/>
      <c r="Q14" s="8">
        <v>5</v>
      </c>
      <c r="R14" s="5" t="s">
        <v>71</v>
      </c>
      <c r="S14" s="5" t="s">
        <v>64</v>
      </c>
      <c r="T14" s="5" t="s">
        <v>65</v>
      </c>
      <c r="U14" s="5" t="s">
        <v>66</v>
      </c>
      <c r="V14" s="5" t="s">
        <v>67</v>
      </c>
      <c r="W14" s="5" t="s">
        <v>75</v>
      </c>
    </row>
    <row r="15" ht="34" customHeight="1" spans="1:23">
      <c r="A15" s="4">
        <v>14</v>
      </c>
      <c r="B15" s="4" t="s">
        <v>11</v>
      </c>
      <c r="C15" s="5" t="s">
        <v>55</v>
      </c>
      <c r="D15" s="5" t="s">
        <v>56</v>
      </c>
      <c r="E15" s="5" t="s">
        <v>73</v>
      </c>
      <c r="F15" s="5" t="s">
        <v>88</v>
      </c>
      <c r="G15" s="5" t="s">
        <v>59</v>
      </c>
      <c r="H15" s="5" t="s">
        <v>60</v>
      </c>
      <c r="I15" s="5" t="s">
        <v>61</v>
      </c>
      <c r="J15" s="6">
        <v>50</v>
      </c>
      <c r="K15" s="7">
        <v>0</v>
      </c>
      <c r="L15" s="7">
        <v>0</v>
      </c>
      <c r="M15" s="4" t="s">
        <v>62</v>
      </c>
      <c r="N15" s="8">
        <v>8</v>
      </c>
      <c r="O15" s="9">
        <v>0.03</v>
      </c>
      <c r="P15" s="9">
        <v>0.03</v>
      </c>
      <c r="Q15" s="8">
        <v>3</v>
      </c>
      <c r="R15" s="5" t="s">
        <v>63</v>
      </c>
      <c r="S15" s="5" t="s">
        <v>64</v>
      </c>
      <c r="T15" s="5" t="s">
        <v>65</v>
      </c>
      <c r="U15" s="5" t="s">
        <v>66</v>
      </c>
      <c r="V15" s="5" t="s">
        <v>67</v>
      </c>
      <c r="W15" s="5" t="s">
        <v>89</v>
      </c>
    </row>
    <row r="16" ht="34" customHeight="1" spans="1:23">
      <c r="A16" s="4">
        <v>15</v>
      </c>
      <c r="B16" s="4" t="s">
        <v>11</v>
      </c>
      <c r="C16" s="5" t="s">
        <v>55</v>
      </c>
      <c r="D16" s="5" t="s">
        <v>56</v>
      </c>
      <c r="E16" s="5" t="s">
        <v>73</v>
      </c>
      <c r="F16" s="5" t="s">
        <v>90</v>
      </c>
      <c r="G16" s="5" t="s">
        <v>59</v>
      </c>
      <c r="H16" s="5" t="s">
        <v>60</v>
      </c>
      <c r="I16" s="5" t="s">
        <v>61</v>
      </c>
      <c r="J16" s="6">
        <v>50</v>
      </c>
      <c r="K16" s="7">
        <v>0</v>
      </c>
      <c r="L16" s="7">
        <v>0</v>
      </c>
      <c r="M16" s="4" t="s">
        <v>62</v>
      </c>
      <c r="N16" s="8">
        <v>3</v>
      </c>
      <c r="O16" s="9"/>
      <c r="P16" s="9"/>
      <c r="Q16" s="8">
        <v>6</v>
      </c>
      <c r="R16" s="5" t="s">
        <v>71</v>
      </c>
      <c r="S16" s="5" t="s">
        <v>64</v>
      </c>
      <c r="T16" s="5" t="s">
        <v>65</v>
      </c>
      <c r="U16" s="5" t="s">
        <v>66</v>
      </c>
      <c r="V16" s="5" t="s">
        <v>67</v>
      </c>
      <c r="W16" s="5" t="s">
        <v>82</v>
      </c>
    </row>
    <row r="17" ht="34" customHeight="1" spans="1:23">
      <c r="A17" s="4">
        <v>16</v>
      </c>
      <c r="B17" s="4" t="s">
        <v>11</v>
      </c>
      <c r="C17" s="5" t="s">
        <v>55</v>
      </c>
      <c r="D17" s="5" t="s">
        <v>56</v>
      </c>
      <c r="E17" s="5" t="s">
        <v>73</v>
      </c>
      <c r="F17" s="5" t="s">
        <v>91</v>
      </c>
      <c r="G17" s="5" t="s">
        <v>59</v>
      </c>
      <c r="H17" s="5" t="s">
        <v>60</v>
      </c>
      <c r="I17" s="5" t="s">
        <v>61</v>
      </c>
      <c r="J17" s="6">
        <v>50</v>
      </c>
      <c r="K17" s="7">
        <v>0</v>
      </c>
      <c r="L17" s="7" t="s">
        <v>92</v>
      </c>
      <c r="M17" s="4" t="s">
        <v>62</v>
      </c>
      <c r="N17" s="8">
        <v>2</v>
      </c>
      <c r="O17" s="9"/>
      <c r="P17" s="9"/>
      <c r="Q17" s="8">
        <v>6</v>
      </c>
      <c r="R17" s="5" t="s">
        <v>71</v>
      </c>
      <c r="S17" s="5" t="s">
        <v>64</v>
      </c>
      <c r="T17" s="5" t="s">
        <v>65</v>
      </c>
      <c r="U17" s="5" t="s">
        <v>66</v>
      </c>
      <c r="V17" s="5" t="s">
        <v>67</v>
      </c>
      <c r="W17" s="5" t="s">
        <v>82</v>
      </c>
    </row>
    <row r="18" ht="34" customHeight="1" spans="1:23">
      <c r="A18" s="4">
        <v>17</v>
      </c>
      <c r="B18" s="4" t="s">
        <v>11</v>
      </c>
      <c r="C18" s="5" t="s">
        <v>55</v>
      </c>
      <c r="D18" s="5" t="s">
        <v>56</v>
      </c>
      <c r="E18" s="5" t="s">
        <v>73</v>
      </c>
      <c r="F18" s="5" t="s">
        <v>93</v>
      </c>
      <c r="G18" s="5" t="s">
        <v>59</v>
      </c>
      <c r="H18" s="5" t="s">
        <v>60</v>
      </c>
      <c r="I18" s="5" t="s">
        <v>61</v>
      </c>
      <c r="J18" s="6">
        <v>50</v>
      </c>
      <c r="K18" s="7">
        <v>0</v>
      </c>
      <c r="L18" s="7">
        <v>900</v>
      </c>
      <c r="M18" s="4" t="s">
        <v>62</v>
      </c>
      <c r="N18" s="8">
        <v>6</v>
      </c>
      <c r="O18" s="9">
        <v>0.03</v>
      </c>
      <c r="P18" s="9">
        <v>0.03</v>
      </c>
      <c r="Q18" s="8">
        <v>4</v>
      </c>
      <c r="R18" s="5" t="s">
        <v>63</v>
      </c>
      <c r="S18" s="5" t="s">
        <v>64</v>
      </c>
      <c r="T18" s="5" t="s">
        <v>65</v>
      </c>
      <c r="U18" s="5" t="s">
        <v>66</v>
      </c>
      <c r="V18" s="5" t="s">
        <v>67</v>
      </c>
      <c r="W18" s="5" t="s">
        <v>68</v>
      </c>
    </row>
    <row r="19" ht="34" customHeight="1" spans="1:23">
      <c r="A19" s="4">
        <v>18</v>
      </c>
      <c r="B19" s="4" t="s">
        <v>11</v>
      </c>
      <c r="C19" s="5" t="s">
        <v>55</v>
      </c>
      <c r="D19" s="5" t="s">
        <v>56</v>
      </c>
      <c r="E19" s="5" t="s">
        <v>73</v>
      </c>
      <c r="F19" s="5" t="s">
        <v>94</v>
      </c>
      <c r="G19" s="5" t="s">
        <v>59</v>
      </c>
      <c r="H19" s="5" t="s">
        <v>60</v>
      </c>
      <c r="I19" s="5" t="s">
        <v>61</v>
      </c>
      <c r="J19" s="6">
        <v>50</v>
      </c>
      <c r="K19" s="7">
        <v>0</v>
      </c>
      <c r="L19" s="7">
        <v>0</v>
      </c>
      <c r="M19" s="4" t="s">
        <v>62</v>
      </c>
      <c r="N19" s="8">
        <v>6</v>
      </c>
      <c r="O19" s="9"/>
      <c r="P19" s="9"/>
      <c r="Q19" s="8">
        <v>6</v>
      </c>
      <c r="R19" s="5" t="s">
        <v>71</v>
      </c>
      <c r="S19" s="5" t="s">
        <v>64</v>
      </c>
      <c r="T19" s="5" t="s">
        <v>65</v>
      </c>
      <c r="U19" s="5" t="s">
        <v>66</v>
      </c>
      <c r="V19" s="5" t="s">
        <v>67</v>
      </c>
      <c r="W19" s="5" t="s">
        <v>82</v>
      </c>
    </row>
    <row r="20" ht="34" customHeight="1" spans="1:23">
      <c r="A20" s="4">
        <v>19</v>
      </c>
      <c r="B20" s="4" t="s">
        <v>11</v>
      </c>
      <c r="C20" s="5" t="s">
        <v>55</v>
      </c>
      <c r="D20" s="5" t="s">
        <v>56</v>
      </c>
      <c r="E20" s="5" t="s">
        <v>73</v>
      </c>
      <c r="F20" s="5" t="s">
        <v>95</v>
      </c>
      <c r="G20" s="5" t="s">
        <v>59</v>
      </c>
      <c r="H20" s="5" t="s">
        <v>60</v>
      </c>
      <c r="I20" s="5" t="s">
        <v>61</v>
      </c>
      <c r="J20" s="6">
        <v>50</v>
      </c>
      <c r="K20" s="7">
        <v>0</v>
      </c>
      <c r="L20" s="7">
        <v>0</v>
      </c>
      <c r="M20" s="4" t="s">
        <v>62</v>
      </c>
      <c r="N20" s="8">
        <v>5</v>
      </c>
      <c r="O20" s="9"/>
      <c r="P20" s="9"/>
      <c r="Q20" s="8">
        <v>7</v>
      </c>
      <c r="R20" s="5" t="s">
        <v>71</v>
      </c>
      <c r="S20" s="5" t="s">
        <v>64</v>
      </c>
      <c r="T20" s="5" t="s">
        <v>65</v>
      </c>
      <c r="U20" s="5" t="s">
        <v>66</v>
      </c>
      <c r="V20" s="5" t="s">
        <v>67</v>
      </c>
      <c r="W20" s="5" t="s">
        <v>78</v>
      </c>
    </row>
    <row r="21" ht="34" customHeight="1" spans="1:23">
      <c r="A21" s="4">
        <v>20</v>
      </c>
      <c r="B21" s="4" t="s">
        <v>11</v>
      </c>
      <c r="C21" s="5" t="s">
        <v>55</v>
      </c>
      <c r="D21" s="5" t="s">
        <v>56</v>
      </c>
      <c r="E21" s="5" t="s">
        <v>73</v>
      </c>
      <c r="F21" s="5" t="s">
        <v>96</v>
      </c>
      <c r="G21" s="5" t="s">
        <v>59</v>
      </c>
      <c r="H21" s="5" t="s">
        <v>60</v>
      </c>
      <c r="I21" s="5" t="s">
        <v>61</v>
      </c>
      <c r="J21" s="6">
        <v>50</v>
      </c>
      <c r="K21" s="7">
        <v>0</v>
      </c>
      <c r="L21" s="7">
        <v>0</v>
      </c>
      <c r="M21" s="4" t="s">
        <v>62</v>
      </c>
      <c r="N21" s="8">
        <v>7</v>
      </c>
      <c r="O21" s="9"/>
      <c r="P21" s="9"/>
      <c r="Q21" s="8">
        <v>7</v>
      </c>
      <c r="R21" s="5" t="s">
        <v>71</v>
      </c>
      <c r="S21" s="5" t="s">
        <v>64</v>
      </c>
      <c r="T21" s="5" t="s">
        <v>65</v>
      </c>
      <c r="U21" s="5" t="s">
        <v>66</v>
      </c>
      <c r="V21" s="5" t="s">
        <v>67</v>
      </c>
      <c r="W21" s="5" t="s">
        <v>78</v>
      </c>
    </row>
    <row r="22" ht="34" customHeight="1" spans="1:23">
      <c r="A22" s="4">
        <v>21</v>
      </c>
      <c r="B22" s="4" t="s">
        <v>11</v>
      </c>
      <c r="C22" s="5" t="s">
        <v>55</v>
      </c>
      <c r="D22" s="5" t="s">
        <v>56</v>
      </c>
      <c r="E22" s="5" t="s">
        <v>73</v>
      </c>
      <c r="F22" s="5" t="s">
        <v>97</v>
      </c>
      <c r="G22" s="5" t="s">
        <v>59</v>
      </c>
      <c r="H22" s="5" t="s">
        <v>60</v>
      </c>
      <c r="I22" s="5" t="s">
        <v>61</v>
      </c>
      <c r="J22" s="6">
        <v>50</v>
      </c>
      <c r="K22" s="7">
        <v>0</v>
      </c>
      <c r="L22" s="7">
        <v>-90</v>
      </c>
      <c r="M22" s="4" t="s">
        <v>62</v>
      </c>
      <c r="N22" s="8">
        <v>8</v>
      </c>
      <c r="O22" s="9"/>
      <c r="P22" s="9"/>
      <c r="Q22" s="8">
        <v>6</v>
      </c>
      <c r="R22" s="5" t="s">
        <v>71</v>
      </c>
      <c r="S22" s="5" t="s">
        <v>64</v>
      </c>
      <c r="T22" s="5" t="s">
        <v>65</v>
      </c>
      <c r="U22" s="5" t="s">
        <v>66</v>
      </c>
      <c r="V22" s="5" t="s">
        <v>67</v>
      </c>
      <c r="W22" s="5" t="s">
        <v>82</v>
      </c>
    </row>
    <row r="23" ht="34" customHeight="1" spans="1:23">
      <c r="A23" s="4">
        <v>22</v>
      </c>
      <c r="B23" s="4" t="s">
        <v>11</v>
      </c>
      <c r="C23" s="5" t="s">
        <v>55</v>
      </c>
      <c r="D23" s="5" t="s">
        <v>56</v>
      </c>
      <c r="E23" s="5" t="s">
        <v>73</v>
      </c>
      <c r="F23" s="5" t="s">
        <v>98</v>
      </c>
      <c r="G23" s="5" t="s">
        <v>59</v>
      </c>
      <c r="H23" s="5" t="s">
        <v>60</v>
      </c>
      <c r="I23" s="5" t="s">
        <v>61</v>
      </c>
      <c r="J23" s="6">
        <v>50</v>
      </c>
      <c r="K23" s="7">
        <v>0</v>
      </c>
      <c r="L23" s="7">
        <v>0</v>
      </c>
      <c r="M23" s="4" t="s">
        <v>62</v>
      </c>
      <c r="N23" s="8">
        <v>9</v>
      </c>
      <c r="O23" s="9"/>
      <c r="P23" s="9"/>
      <c r="Q23" s="8">
        <v>7</v>
      </c>
      <c r="R23" s="5" t="s">
        <v>71</v>
      </c>
      <c r="S23" s="5" t="s">
        <v>64</v>
      </c>
      <c r="T23" s="5" t="s">
        <v>65</v>
      </c>
      <c r="U23" s="5" t="s">
        <v>66</v>
      </c>
      <c r="V23" s="5" t="s">
        <v>67</v>
      </c>
      <c r="W23" s="5" t="s">
        <v>78</v>
      </c>
    </row>
    <row r="24" ht="34" customHeight="1" spans="1:23">
      <c r="A24" s="4">
        <v>23</v>
      </c>
      <c r="B24" s="4" t="s">
        <v>11</v>
      </c>
      <c r="C24" s="5" t="s">
        <v>55</v>
      </c>
      <c r="D24" s="5" t="s">
        <v>56</v>
      </c>
      <c r="E24" s="5" t="s">
        <v>73</v>
      </c>
      <c r="F24" s="5" t="s">
        <v>99</v>
      </c>
      <c r="G24" s="5" t="s">
        <v>59</v>
      </c>
      <c r="H24" s="5" t="s">
        <v>60</v>
      </c>
      <c r="I24" s="5" t="s">
        <v>61</v>
      </c>
      <c r="J24" s="6">
        <v>50</v>
      </c>
      <c r="K24" s="7">
        <v>0</v>
      </c>
      <c r="L24" s="7">
        <v>0</v>
      </c>
      <c r="M24" s="4" t="s">
        <v>62</v>
      </c>
      <c r="N24" s="8">
        <v>20</v>
      </c>
      <c r="O24" s="9"/>
      <c r="P24" s="9"/>
      <c r="Q24" s="8">
        <v>6</v>
      </c>
      <c r="R24" s="5" t="s">
        <v>71</v>
      </c>
      <c r="S24" s="5" t="s">
        <v>64</v>
      </c>
      <c r="T24" s="5" t="s">
        <v>65</v>
      </c>
      <c r="U24" s="5" t="s">
        <v>66</v>
      </c>
      <c r="V24" s="5" t="s">
        <v>67</v>
      </c>
      <c r="W24" s="5" t="s">
        <v>82</v>
      </c>
    </row>
    <row r="25" ht="34" customHeight="1" spans="1:23">
      <c r="A25" s="4">
        <v>24</v>
      </c>
      <c r="B25" s="4" t="s">
        <v>11</v>
      </c>
      <c r="C25" s="5" t="s">
        <v>55</v>
      </c>
      <c r="D25" s="5" t="s">
        <v>56</v>
      </c>
      <c r="E25" s="5" t="s">
        <v>73</v>
      </c>
      <c r="F25" s="5" t="s">
        <v>100</v>
      </c>
      <c r="G25" s="5" t="s">
        <v>59</v>
      </c>
      <c r="H25" s="5" t="s">
        <v>60</v>
      </c>
      <c r="I25" s="5" t="s">
        <v>61</v>
      </c>
      <c r="J25" s="6">
        <v>50</v>
      </c>
      <c r="K25" s="7">
        <v>0</v>
      </c>
      <c r="L25" s="7">
        <v>0</v>
      </c>
      <c r="M25" s="4" t="s">
        <v>62</v>
      </c>
      <c r="N25" s="8">
        <v>5</v>
      </c>
      <c r="O25" s="9"/>
      <c r="P25" s="9"/>
      <c r="Q25" s="8">
        <v>8</v>
      </c>
      <c r="R25" s="5" t="s">
        <v>71</v>
      </c>
      <c r="S25" s="5" t="s">
        <v>64</v>
      </c>
      <c r="T25" s="5" t="s">
        <v>65</v>
      </c>
      <c r="U25" s="5" t="s">
        <v>66</v>
      </c>
      <c r="V25" s="5" t="s">
        <v>67</v>
      </c>
      <c r="W25" s="5" t="s">
        <v>101</v>
      </c>
    </row>
    <row r="26" ht="34" customHeight="1" spans="1:23">
      <c r="A26" s="4">
        <v>25</v>
      </c>
      <c r="B26" s="4" t="s">
        <v>11</v>
      </c>
      <c r="C26" s="5" t="s">
        <v>55</v>
      </c>
      <c r="D26" s="5" t="s">
        <v>56</v>
      </c>
      <c r="E26" s="5" t="s">
        <v>73</v>
      </c>
      <c r="F26" s="5" t="s">
        <v>102</v>
      </c>
      <c r="G26" s="5" t="s">
        <v>59</v>
      </c>
      <c r="H26" s="5" t="s">
        <v>60</v>
      </c>
      <c r="I26" s="5" t="s">
        <v>61</v>
      </c>
      <c r="J26" s="6">
        <v>50</v>
      </c>
      <c r="K26" s="7">
        <v>0</v>
      </c>
      <c r="L26" s="7">
        <v>0</v>
      </c>
      <c r="M26" s="4" t="s">
        <v>62</v>
      </c>
      <c r="N26" s="8">
        <v>6</v>
      </c>
      <c r="O26" s="9"/>
      <c r="P26" s="9"/>
      <c r="Q26" s="8">
        <v>8</v>
      </c>
      <c r="R26" s="5" t="s">
        <v>71</v>
      </c>
      <c r="S26" s="5" t="s">
        <v>64</v>
      </c>
      <c r="T26" s="5" t="s">
        <v>65</v>
      </c>
      <c r="U26" s="5" t="s">
        <v>66</v>
      </c>
      <c r="V26" s="5" t="s">
        <v>67</v>
      </c>
      <c r="W26" s="5" t="s">
        <v>101</v>
      </c>
    </row>
    <row r="27" ht="34" customHeight="1" spans="1:23">
      <c r="A27" s="4">
        <v>26</v>
      </c>
      <c r="B27" s="4" t="s">
        <v>11</v>
      </c>
      <c r="C27" s="5" t="s">
        <v>55</v>
      </c>
      <c r="D27" s="5" t="s">
        <v>56</v>
      </c>
      <c r="E27" s="5" t="s">
        <v>73</v>
      </c>
      <c r="F27" s="5" t="s">
        <v>103</v>
      </c>
      <c r="G27" s="5" t="s">
        <v>59</v>
      </c>
      <c r="H27" s="5" t="s">
        <v>60</v>
      </c>
      <c r="I27" s="5" t="s">
        <v>61</v>
      </c>
      <c r="J27" s="6">
        <v>50</v>
      </c>
      <c r="K27" s="7">
        <v>0</v>
      </c>
      <c r="L27" s="7">
        <v>0</v>
      </c>
      <c r="M27" s="4" t="s">
        <v>62</v>
      </c>
      <c r="N27" s="8">
        <v>9</v>
      </c>
      <c r="O27" s="9"/>
      <c r="P27" s="9"/>
      <c r="Q27" s="8">
        <v>6</v>
      </c>
      <c r="R27" s="5" t="s">
        <v>71</v>
      </c>
      <c r="S27" s="5" t="s">
        <v>64</v>
      </c>
      <c r="T27" s="5" t="s">
        <v>65</v>
      </c>
      <c r="U27" s="5" t="s">
        <v>66</v>
      </c>
      <c r="V27" s="5" t="s">
        <v>67</v>
      </c>
      <c r="W27" s="5" t="s">
        <v>82</v>
      </c>
    </row>
    <row r="28" ht="34" customHeight="1" spans="1:23">
      <c r="A28" s="10">
        <v>27</v>
      </c>
      <c r="B28" s="10" t="s">
        <v>15</v>
      </c>
      <c r="C28" s="11" t="s">
        <v>104</v>
      </c>
      <c r="D28" s="11" t="s">
        <v>105</v>
      </c>
      <c r="E28" s="11" t="s">
        <v>106</v>
      </c>
      <c r="F28" s="11" t="s">
        <v>107</v>
      </c>
      <c r="G28" s="11" t="s">
        <v>59</v>
      </c>
      <c r="H28" s="11" t="s">
        <v>108</v>
      </c>
      <c r="I28" s="11" t="s">
        <v>109</v>
      </c>
      <c r="J28" s="12">
        <v>5000</v>
      </c>
      <c r="K28" s="13">
        <v>0</v>
      </c>
      <c r="L28" s="13">
        <v>0</v>
      </c>
      <c r="M28" s="10" t="s">
        <v>62</v>
      </c>
      <c r="N28" s="14">
        <v>8</v>
      </c>
      <c r="O28" s="15">
        <v>0.03</v>
      </c>
      <c r="P28" s="15">
        <v>1.11</v>
      </c>
      <c r="Q28" s="14">
        <v>2</v>
      </c>
      <c r="R28" s="11" t="s">
        <v>110</v>
      </c>
      <c r="S28" s="11" t="s">
        <v>64</v>
      </c>
      <c r="T28" s="11" t="s">
        <v>65</v>
      </c>
      <c r="U28" s="11" t="s">
        <v>66</v>
      </c>
      <c r="V28" s="11" t="s">
        <v>67</v>
      </c>
      <c r="W28" s="11" t="s">
        <v>111</v>
      </c>
    </row>
    <row r="29" ht="34" customHeight="1" spans="1:23">
      <c r="A29" s="16">
        <v>28</v>
      </c>
      <c r="B29" s="16" t="s">
        <v>19</v>
      </c>
      <c r="C29" s="17" t="s">
        <v>20</v>
      </c>
      <c r="D29" s="17" t="s">
        <v>112</v>
      </c>
      <c r="E29" s="17" t="s">
        <v>113</v>
      </c>
      <c r="F29" s="17" t="s">
        <v>114</v>
      </c>
      <c r="G29" s="17" t="s">
        <v>114</v>
      </c>
      <c r="H29" s="17" t="s">
        <v>18</v>
      </c>
      <c r="I29" s="17" t="s">
        <v>115</v>
      </c>
      <c r="J29" s="18">
        <v>50</v>
      </c>
      <c r="K29" s="19">
        <v>0</v>
      </c>
      <c r="L29" s="19">
        <v>0</v>
      </c>
      <c r="M29" s="16" t="s">
        <v>71</v>
      </c>
      <c r="N29" s="20">
        <v>80</v>
      </c>
      <c r="O29" s="21"/>
      <c r="P29" s="21"/>
      <c r="Q29" s="20">
        <v>0</v>
      </c>
      <c r="R29" s="17" t="s">
        <v>116</v>
      </c>
      <c r="S29" s="17" t="s">
        <v>64</v>
      </c>
      <c r="T29" s="17" t="s">
        <v>65</v>
      </c>
      <c r="U29" s="17" t="s">
        <v>66</v>
      </c>
      <c r="V29" s="17" t="s">
        <v>67</v>
      </c>
      <c r="W29" s="17" t="s">
        <v>117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Didier Contreras</cp:lastModifiedBy>
  <dcterms:created xsi:type="dcterms:W3CDTF">2026-07-12T22:46:14Z</dcterms:created>
  <dcterms:modified xsi:type="dcterms:W3CDTF">2026-07-13T12:00:01Z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CE28821FD009D7D7810B556A34DA2020_42</vt:lpwstr>
  </property>
  <property fmtid="{D5CDD505-2E9C-101B-9397-08002B2CF9AE}" pid="3" name="KSOProductBuildVer">
    <vt:lpwstr>2058-12.1.26015.26015</vt:lpwstr>
  </property>
  <property fmtid="{D5CDD505-2E9C-101B-9397-08002B2CF9AE}" pid="4" name="CalculationRule">
    <vt:i4>0</vt:i4>
  </property>
</Properties>
</file>